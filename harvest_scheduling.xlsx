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8aeb3ba6744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4d74fbf1915345a4"/>
    <x:sheet xmlns:r="http://schemas.openxmlformats.org/officeDocument/2006/relationships" name="Model" sheetId="2" r:id="R00e64fab60df477a"/>
    <x:sheet xmlns:r="http://schemas.openxmlformats.org/officeDocument/2006/relationships" name="Inputs" sheetId="3" r:id="R1d7ee071afdd40dc"/>
    <x:sheet xmlns:r="http://schemas.openxmlformats.org/officeDocument/2006/relationships" name="Solver guide" sheetId="4" r:id="Rce6456cd925c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0;(#,##0.00);&quot;-&quot;"/>
    <x:numFmt numFmtId="202" formatCode="#,##0.00"/>
  </x:numFmts>
  <x:fonts count="9">
    <x:font>
      <x:sz val="11"/>
      <x:name val="Carlito"/>
    </x:font>
    <x:font>
      <x:sz val="10"/>
      <x:name val="Arial"/>
    </x:font>
    <x:font>
      <x:b/>
      <x:sz val="16"/>
      <x:color rgb="FF24574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574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3" borderId="0" xfId="0" applyNumberFormat="1" applyFont="1" applyFill="1" applyBorder="1"/>
    <x:xf numFmtId="201" fontId="5" fillId="0" borderId="0" xfId="0" applyNumberFormat="1" applyFont="1" applyFill="1" applyBorder="1"/>
    <x:xf numFmtId="201" fontId="6" fillId="0" borderId="0" xfId="0" applyNumberFormat="1" applyFont="1" applyFill="1" applyBorder="1"/>
    <x:xf numFmtId="201" fontId="4" fillId="3" borderId="0" xfId="0" applyNumberFormat="1" applyFont="1" applyFill="1" applyBorder="1"/>
    <x:xf numFmtId="201" fontId="1" fillId="0" borderId="0" xfId="0" applyNumberFormat="1" applyFont="1" applyFill="1" applyBorder="1"/>
    <x:xf numFmtId="201" fontId="3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1" fontId="7" fillId="2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2ce1438854220" /><Relationship Type="http://schemas.openxmlformats.org/officeDocument/2006/relationships/theme" Target="/xl/theme/theme1.xml" Id="Rc4d34ac15e0d457b" /><Relationship Type="http://schemas.openxmlformats.org/officeDocument/2006/relationships/sharedStrings" Target="/xl/sharedStrings.xml" Id="R26cacd305b2e4efe" /><Relationship Type="http://schemas.openxmlformats.org/officeDocument/2006/relationships/worksheet" Target="/xl/worksheets/sheet1.xml" Id="R4d74fbf1915345a4" /><Relationship Type="http://schemas.openxmlformats.org/officeDocument/2006/relationships/worksheet" Target="/xl/worksheets/sheet2.xml" Id="R00e64fab60df477a" /><Relationship Type="http://schemas.openxmlformats.org/officeDocument/2006/relationships/worksheet" Target="/xl/worksheets/sheet3.xml" Id="R1d7ee071afdd40dc" /><Relationship Type="http://schemas.openxmlformats.org/officeDocument/2006/relationships/worksheet" Target="/xl/worksheets/sheet4.xml" Id="Rce6456cd925c4f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088e2ee8aa4c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Timber harvested by period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Cords</c:v>
          </c:tx>
          <c:cat>
            <c:strRef>
              <c:f>'Results'!$H$26:$H$27</c:f>
              <c:strCache>
                <c:ptCount val="0"/>
              </c:strCache>
            </c:strRef>
          </c:cat>
          <c:val>
            <c:numRef>
              <c:f>'Results'!$I$26:$I$27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088e2ee8aa4c6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d6e43586ed43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Forest harvest scheduling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 t="str">
        <x:v>Hypothetical textbook project | 20-year horizon | continuous acreage allocation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40" customHeight="1">
      <x:c r="A6" s="5" t="str">
        <x:v>Metric</x:v>
      </x:c>
      <x:c r="B6" s="5" t="str">
        <x:v>Period 1: years 0–10</x:v>
      </x:c>
      <x:c r="C6" s="5" t="str">
        <x:v>Period 2: years 10–20</x:v>
      </x:c>
      <x:c r="D6" s="18"/>
      <x:c r="E6" s="18"/>
      <x:c r="F6" s="18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18" t="str">
        <x:v>Harvested acres</x:v>
      </x:c>
      <x:c r="B7" s="19" t="n">
        <x:f>SUMIFS(Model!$M$7:$M$24,Model!$C$7:$C$24,1)</x:f>
        <x:v>2028.2222222222233</x:v>
      </x:c>
      <x:c r="C7" s="19" t="n">
        <x:f>SUMIFS(Model!$M$7:$M$24,Model!$C$7:$C$24,2)</x:f>
        <x:v>1760.8888888888912</x:v>
      </x:c>
      <x:c r="D7" s="19"/>
      <x:c r="E7" s="19"/>
      <x:c r="F7" s="19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18" t="str">
        <x:v>Harvested cords</x:v>
      </x:c>
      <x:c r="B8" s="19" t="n">
        <x:f>SUMIFS(Model!$O$7:$O$24,Model!$C$7:$C$24,1)</x:f>
        <x:v>56500.88888888893</x:v>
      </x:c>
      <x:c r="C8" s="19" t="n">
        <x:f>SUMIFS(Model!$O$7:$O$24,Model!$C$7:$C$24,2)</x:f>
        <x:v>51364.4444444445</x:v>
      </x:c>
      <x:c r="D8" s="19"/>
      <x:c r="E8" s="19"/>
      <x:c r="F8" s="19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18" t="str">
        <x:v>Discounted net revenue ($)</x:v>
      </x:c>
      <x:c r="B9" s="19" t="n">
        <x:f>SUMIFS(Model!$N$7:$N$24,Model!$C$7:$C$24,1)</x:f>
        <x:v>1104193.0945820874</x:v>
      </x:c>
      <x:c r="C9" s="19" t="n">
        <x:f>SUMIFS(Model!$N$7:$N$24,Model!$C$7:$C$24,2)</x:f>
        <x:v>685739.0748555004</x:v>
      </x:c>
      <x:c r="D9" s="19"/>
      <x:c r="E9" s="19"/>
      <x:c r="F9" s="19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18"/>
      <x:c r="B10" s="19"/>
      <x:c r="C10" s="19"/>
      <x:c r="D10" s="19"/>
      <x:c r="E10" s="19"/>
      <x:c r="F10" s="19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8" t="str">
        <x:v>Total discounted net revenue ($)</x:v>
      </x:c>
      <x:c r="B11" s="19" t="n">
        <x:f>SUM(B9:C9)</x:f>
        <x:v>1789932.1694375877</x:v>
      </x:c>
      <x:c r="C11" s="19"/>
      <x:c r="D11" s="19"/>
      <x:c r="E11" s="19"/>
      <x:c r="F11" s="19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18" t="str">
        <x:v>Ending average age (years)</x:v>
      </x:c>
      <x:c r="B12" s="19" t="n">
        <x:f>SUMPRODUCT(Model!G7:G24,Model!M7:M24)/SUM(Inputs!D19:D24)</x:f>
        <x:v>17</x:v>
      </x:c>
      <x:c r="C12" s="19"/>
      <x:c r="D12" s="19"/>
      <x:c r="E12" s="19"/>
      <x:c r="F12" s="19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8"/>
      <x:c r="B13" s="19"/>
      <x:c r="C13" s="19"/>
      <x:c r="D13" s="19"/>
      <x:c r="E13" s="19"/>
      <x:c r="F13" s="19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8"/>
      <x:c r="B14" s="19"/>
      <x:c r="C14" s="19"/>
      <x:c r="D14" s="19"/>
      <x:c r="E14" s="19"/>
      <x:c r="F14" s="19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8"/>
      <x:c r="B15" s="19"/>
      <x:c r="C15" s="19"/>
      <x:c r="D15" s="19"/>
      <x:c r="E15" s="19"/>
      <x:c r="F15" s="19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40" customHeight="1">
      <x:c r="A16" s="5" t="str">
        <x:v>Site</x:v>
      </x:c>
      <x:c r="B16" s="16" t="str">
        <x:v>Initial age class</x:v>
      </x:c>
      <x:c r="C16" s="16" t="str">
        <x:v>Available acres</x:v>
      </x:c>
      <x:c r="D16" s="16" t="str">
        <x:v>Harvest period 1</x:v>
      </x:c>
      <x:c r="E16" s="16" t="str">
        <x:v>Harvest period 2</x:v>
      </x:c>
      <x:c r="F16" s="16" t="str">
        <x:v>No harvest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8" t="n">
        <x:f>Inputs!A19</x:f>
        <x:v>1</x:v>
      </x:c>
      <x:c r="B17" s="19" t="str">
        <x:v>0–10</x:v>
      </x:c>
      <x:c r="C17" s="19" t="n">
        <x:f>Inputs!D19</x:f>
        <x:v>480</x:v>
      </x:c>
      <x:c r="D17" s="19" t="n">
        <x:f>Model!M7</x:f>
        <x:v>0</x:v>
      </x:c>
      <x:c r="E17" s="19" t="n">
        <x:f>Model!M8</x:f>
        <x:v>0</x:v>
      </x:c>
      <x:c r="F17" s="19" t="n">
        <x:f>Model!M9</x:f>
        <x:v>480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18" t="n">
        <x:f>Inputs!A20</x:f>
        <x:v>1</x:v>
      </x:c>
      <x:c r="B18" s="19" t="str">
        <x:v>11–20</x:v>
      </x:c>
      <x:c r="C18" s="19" t="n">
        <x:f>Inputs!D20</x:f>
        <x:v>910</x:v>
      </x:c>
      <x:c r="D18" s="19" t="n">
        <x:f>Model!M10</x:f>
        <x:v>0</x:v>
      </x:c>
      <x:c r="E18" s="19" t="n">
        <x:f>Model!M11</x:f>
        <x:v>0</x:v>
      </x:c>
      <x:c r="F18" s="19" t="n">
        <x:f>Model!M12</x:f>
        <x:v>910.0000000000001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8" t="n">
        <x:f>Inputs!A21</x:f>
        <x:v>1</x:v>
      </x:c>
      <x:c r="B19" s="19" t="str">
        <x:v>21–30</x:v>
      </x:c>
      <x:c r="C19" s="19" t="n">
        <x:f>Inputs!D21</x:f>
        <x:v>1060</x:v>
      </x:c>
      <x:c r="D19" s="19" t="n">
        <x:f>Model!M13</x:f>
        <x:v>708.222222222222</x:v>
      </x:c>
      <x:c r="E19" s="19" t="n">
        <x:f>Model!M14</x:f>
        <x:v>351.77777777777806</x:v>
      </x:c>
      <x:c r="F19" s="19" t="n">
        <x:f>Model!M15</x:f>
        <x:v>0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8" t="n">
        <x:f>Inputs!A22</x:f>
        <x:v>2</x:v>
      </x:c>
      <x:c r="B20" s="19" t="str">
        <x:v>0–10</x:v>
      </x:c>
      <x:c r="C20" s="19" t="n">
        <x:f>Inputs!D22</x:f>
        <x:v>950</x:v>
      </x:c>
      <x:c r="D20" s="19" t="n">
        <x:f>Model!M16</x:f>
        <x:v>0</x:v>
      </x:c>
      <x:c r="E20" s="19" t="n">
        <x:f>Model!M17</x:f>
        <x:v>329.1111111111125</x:v>
      </x:c>
      <x:c r="F20" s="19" t="n">
        <x:f>Model!M18</x:f>
        <x:v>620.8888888888877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8" t="n">
        <x:f>Inputs!A23</x:f>
        <x:v>2</x:v>
      </x:c>
      <x:c r="B21" s="19" t="str">
        <x:v>11–20</x:v>
      </x:c>
      <x:c r="C21" s="19" t="n">
        <x:f>Inputs!D23</x:f>
        <x:v>1080</x:v>
      </x:c>
      <x:c r="D21" s="19" t="n">
        <x:f>Model!M19</x:f>
        <x:v>0</x:v>
      </x:c>
      <x:c r="E21" s="19" t="n">
        <x:f>Model!M20</x:f>
        <x:v>1080.0000000000007</x:v>
      </x:c>
      <x:c r="F21" s="19" t="n">
        <x:f>Model!M21</x:f>
        <x:v>0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8" t="n">
        <x:f>Inputs!A24</x:f>
        <x:v>2</x:v>
      </x:c>
      <x:c r="B22" s="19" t="str">
        <x:v>21–30</x:v>
      </x:c>
      <x:c r="C22" s="19" t="n">
        <x:f>Inputs!D24</x:f>
        <x:v>1320</x:v>
      </x:c>
      <x:c r="D22" s="19" t="n">
        <x:f>Model!M22</x:f>
        <x:v>1320.0000000000014</x:v>
      </x:c>
      <x:c r="E22" s="19" t="n">
        <x:f>Model!M23</x:f>
        <x:v>0</x:v>
      </x:c>
      <x:c r="F22" s="19" t="n">
        <x:f>Model!M24</x:f>
        <x:v>0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" t="str">
        <x:v>Changing inputs recalculates this schedule; it does not re-optimize acreage. Rerun Solver.</x:v>
      </x:c>
      <x:c r="B25" s="1"/>
      <x:c r="C25" s="1"/>
      <x:c r="D25" s="1"/>
      <x:c r="E25" s="1"/>
      <x:c r="F25" s="1"/>
      <x:c r="G25" s="1"/>
      <x:c r="H25" s="1" t="str">
        <x:v>Period</x:v>
      </x:c>
      <x:c r="I25" s="1" t="str">
        <x:v>Cords</x:v>
      </x:c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 t="str">
        <x:v>Period 1</x:v>
      </x:c>
      <x:c r="I26" s="10" t="n">
        <x:f>B8</x:f>
        <x:v>56500.88888888893</x:v>
      </x:c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 t="str">
        <x:v>Period 2</x:v>
      </x:c>
      <x:c r="I27" s="10" t="n">
        <x:f>C8</x:f>
        <x:v>51364.4444444445</x:v>
      </x:c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</x:sheetData>
  <x:pageMargins left="0.7" right="0.7" top="0.75" bottom="0.75" header="0.3" footer="0.3"/>
  <x:drawing xmlns:r="http://schemas.openxmlformats.org/officeDocument/2006/relationships" r:id="R27d6e43586ed438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Harvest options and optimization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 t="str">
        <x:v>Yellow cells are acreage decisions. Rerun Solver after changing inputs.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40" customHeight="1">
      <x:c r="A6" s="5" t="str">
        <x:v>Site</x:v>
      </x:c>
      <x:c r="B6" s="5" t="str">
        <x:v>Age class</x:v>
      </x:c>
      <x:c r="C6" s="5" t="str">
        <x:v>Prescription</x:v>
      </x:c>
      <x:c r="D6" s="5" t="str">
        <x:v>Harvest year</x:v>
      </x:c>
      <x:c r="E6" s="5" t="str">
        <x:v>Harvest age</x:v>
      </x:c>
      <x:c r="F6" s="5" t="str">
        <x:v>Yield cords/ac</x:v>
      </x:c>
      <x:c r="G6" s="5" t="str">
        <x:v>Ending age</x:v>
      </x:c>
      <x:c r="H6" s="5" t="str">
        <x:v>Gross $/ac</x:v>
      </x:c>
      <x:c r="I6" s="5" t="str">
        <x:v>Sale $/ac</x:v>
      </x:c>
      <x:c r="J6" s="5" t="str">
        <x:v>Plant $/ac</x:v>
      </x:c>
      <x:c r="K6" s="5" t="str">
        <x:v>Net $/ac</x:v>
      </x:c>
      <x:c r="L6" s="5" t="str">
        <x:v>PV net $/ac</x:v>
      </x:c>
      <x:c r="M6" s="5" t="str">
        <x:v>Acres decision</x:v>
      </x:c>
      <x:c r="N6" s="5" t="str">
        <x:v>PV net $</x:v>
      </x:c>
      <x:c r="O6" s="5" t="str">
        <x:v>Volume cords</x:v>
      </x:c>
      <x:c r="P6" s="1"/>
      <x:c r="Q6" s="1"/>
    </x:row>
    <x:row r="7" ht="23" customHeight="1">
      <x:c r="A7" s="9" t="n">
        <x:f>Inputs!A19</x:f>
        <x:v>1</x:v>
      </x:c>
      <x:c r="B7" s="9" t="n">
        <x:f>Inputs!B19</x:f>
        <x:v>1</x:v>
      </x:c>
      <x:c r="C7" s="1" t="n">
        <x:v>1</x:v>
      </x:c>
      <x:c r="D7" s="9" t="n">
        <x:f>IF(C7=0,0,(C7-0.5)*Inputs!$B$15)</x:f>
        <x:v>5</x:v>
      </x:c>
      <x:c r="E7" s="9" t="n">
        <x:f>IF(C7=0,0,Inputs!C19+D7)</x:f>
        <x:v>10</x:v>
      </x:c>
      <x:c r="F7" s="9" t="n">
        <x:f>IF(C7=0,0,VLOOKUP(E7,Inputs!$F$19:$H$23,A7+1,FALSE))</x:f>
        <x:v>0</x:v>
      </x:c>
      <x:c r="G7" s="9" t="n">
        <x:f>IF(C7=0,Inputs!C19+Inputs!$B$14,Inputs!$B$14-D7)</x:f>
        <x:v>15</x:v>
      </x:c>
      <x:c r="H7" s="12" t="n">
        <x:f>F7*Inputs!$B$8</x:f>
        <x:v>0</x:v>
      </x:c>
      <x:c r="I7" s="12" t="n">
        <x:f>IF(C7=0,0,Inputs!$B$9+F7*Inputs!$B$10)</x:f>
        <x:v>15</x:v>
      </x:c>
      <x:c r="J7" s="12" t="n">
        <x:f>IF(C7=0,0,Inputs!$B$11)</x:f>
        <x:v>150</x:v>
      </x:c>
      <x:c r="K7" s="13" t="n">
        <x:f>H7-I7-J7</x:f>
        <x:v>-165</x:v>
      </x:c>
      <x:c r="L7" s="12" t="n">
        <x:f>K7/(1+Inputs!$B$7)^D7</x:f>
        <x:v>-135.61797261529304</x:v>
      </x:c>
      <x:c r="M7" s="14" t="n">
        <x:v>0</x:v>
      </x:c>
      <x:c r="N7" s="13" t="n">
        <x:f>L7*M7</x:f>
        <x:v>0</x:v>
      </x:c>
      <x:c r="O7" s="21" t="n">
        <x:f>F7*M7</x:f>
        <x:v>0</x:v>
      </x:c>
      <x:c r="P7" s="1"/>
      <x:c r="Q7" s="1"/>
    </x:row>
    <x:row r="8" ht="23" customHeight="1">
      <x:c r="A8" s="9" t="n">
        <x:f>Inputs!A19</x:f>
        <x:v>1</x:v>
      </x:c>
      <x:c r="B8" s="9" t="n">
        <x:f>Inputs!B19</x:f>
        <x:v>1</x:v>
      </x:c>
      <x:c r="C8" s="1" t="n">
        <x:v>2</x:v>
      </x:c>
      <x:c r="D8" s="9" t="n">
        <x:f>IF(C8=0,0,(C8-0.5)*Inputs!$B$15)</x:f>
        <x:v>15</x:v>
      </x:c>
      <x:c r="E8" s="9" t="n">
        <x:f>IF(C8=0,0,Inputs!C19+D8)</x:f>
        <x:v>20</x:v>
      </x:c>
      <x:c r="F8" s="9" t="n">
        <x:f>IF(C8=0,0,VLOOKUP(E8,Inputs!$F$19:$H$23,A8+1,FALSE))</x:f>
        <x:v>14</x:v>
      </x:c>
      <x:c r="G8" s="9" t="n">
        <x:f>IF(C8=0,Inputs!C19+Inputs!$B$14,Inputs!$B$14-D8)</x:f>
        <x:v>5</x:v>
      </x:c>
      <x:c r="H8" s="12" t="n">
        <x:f>F8*Inputs!$B$8</x:f>
        <x:v>420</x:v>
      </x:c>
      <x:c r="I8" s="12" t="n">
        <x:f>IF(C8=0,0,Inputs!$B$9+F8*Inputs!$B$10)</x:f>
        <x:v>19.2</x:v>
      </x:c>
      <x:c r="J8" s="12" t="n">
        <x:f>IF(C8=0,0,Inputs!$B$11)</x:f>
        <x:v>150</x:v>
      </x:c>
      <x:c r="K8" s="13" t="n">
        <x:f>H8-I8-J8</x:f>
        <x:v>250.8</x:v>
      </x:c>
      <x:c r="L8" s="12" t="n">
        <x:f>K8/(1+Inputs!$B$7)^D8</x:f>
        <x:v>139.26033728048935</x:v>
      </x:c>
      <x:c r="M8" s="14" t="n">
        <x:v>0</x:v>
      </x:c>
      <x:c r="N8" s="13" t="n">
        <x:f>L8*M8</x:f>
        <x:v>0</x:v>
      </x:c>
      <x:c r="O8" s="21" t="n">
        <x:f>F8*M8</x:f>
        <x:v>0</x:v>
      </x:c>
      <x:c r="P8" s="1"/>
      <x:c r="Q8" s="1"/>
    </x:row>
    <x:row r="9" ht="23" customHeight="1">
      <x:c r="A9" s="9" t="n">
        <x:f>Inputs!A19</x:f>
        <x:v>1</x:v>
      </x:c>
      <x:c r="B9" s="9" t="n">
        <x:f>Inputs!B19</x:f>
        <x:v>1</x:v>
      </x:c>
      <x:c r="C9" s="1" t="n">
        <x:v>0</x:v>
      </x:c>
      <x:c r="D9" s="9" t="n">
        <x:f>IF(C9=0,0,(C9-0.5)*Inputs!$B$15)</x:f>
        <x:v>0</x:v>
      </x:c>
      <x:c r="E9" s="9" t="n">
        <x:f>IF(C9=0,0,Inputs!C19+D9)</x:f>
        <x:v>0</x:v>
      </x:c>
      <x:c r="F9" s="9" t="n">
        <x:f>IF(C9=0,0,VLOOKUP(E9,Inputs!$F$19:$H$23,A9+1,FALSE))</x:f>
        <x:v>0</x:v>
      </x:c>
      <x:c r="G9" s="9" t="n">
        <x:f>IF(C9=0,Inputs!C19+Inputs!$B$14,Inputs!$B$14-D9)</x:f>
        <x:v>25</x:v>
      </x:c>
      <x:c r="H9" s="12" t="n">
        <x:f>F9*Inputs!$B$8</x:f>
        <x:v>0</x:v>
      </x:c>
      <x:c r="I9" s="12" t="n">
        <x:f>IF(C9=0,0,Inputs!$B$9+F9*Inputs!$B$10)</x:f>
        <x:v>0</x:v>
      </x:c>
      <x:c r="J9" s="12" t="n">
        <x:f>IF(C9=0,0,Inputs!$B$11)</x:f>
        <x:v>0</x:v>
      </x:c>
      <x:c r="K9" s="13" t="n">
        <x:f>H9-I9-J9</x:f>
        <x:v>0</x:v>
      </x:c>
      <x:c r="L9" s="12" t="n">
        <x:f>K9/(1+Inputs!$B$7)^D9</x:f>
        <x:v>0</x:v>
      </x:c>
      <x:c r="M9" s="14" t="n">
        <x:v>480</x:v>
      </x:c>
      <x:c r="N9" s="13" t="n">
        <x:f>L9*M9</x:f>
        <x:v>0</x:v>
      </x:c>
      <x:c r="O9" s="21" t="n">
        <x:f>F9*M9</x:f>
        <x:v>0</x:v>
      </x:c>
      <x:c r="P9" s="1"/>
      <x:c r="Q9" s="1"/>
    </x:row>
    <x:row r="10" ht="23" customHeight="1">
      <x:c r="A10" s="9" t="n">
        <x:f>Inputs!A20</x:f>
        <x:v>1</x:v>
      </x:c>
      <x:c r="B10" s="9" t="n">
        <x:f>Inputs!B20</x:f>
        <x:v>2</x:v>
      </x:c>
      <x:c r="C10" s="1" t="n">
        <x:v>1</x:v>
      </x:c>
      <x:c r="D10" s="9" t="n">
        <x:f>IF(C10=0,0,(C10-0.5)*Inputs!$B$15)</x:f>
        <x:v>5</x:v>
      </x:c>
      <x:c r="E10" s="9" t="n">
        <x:f>IF(C10=0,0,Inputs!C20+D10)</x:f>
        <x:v>20</x:v>
      </x:c>
      <x:c r="F10" s="9" t="n">
        <x:f>IF(C10=0,0,VLOOKUP(E10,Inputs!$F$19:$H$23,A10+1,FALSE))</x:f>
        <x:v>14</x:v>
      </x:c>
      <x:c r="G10" s="9" t="n">
        <x:f>IF(C10=0,Inputs!C20+Inputs!$B$14,Inputs!$B$14-D10)</x:f>
        <x:v>15</x:v>
      </x:c>
      <x:c r="H10" s="12" t="n">
        <x:f>F10*Inputs!$B$8</x:f>
        <x:v>420</x:v>
      </x:c>
      <x:c r="I10" s="12" t="n">
        <x:f>IF(C10=0,0,Inputs!$B$9+F10*Inputs!$B$10)</x:f>
        <x:v>19.2</x:v>
      </x:c>
      <x:c r="J10" s="12" t="n">
        <x:f>IF(C10=0,0,Inputs!$B$11)</x:f>
        <x:v>150</x:v>
      </x:c>
      <x:c r="K10" s="13" t="n">
        <x:f>H10-I10-J10</x:f>
        <x:v>250.8</x:v>
      </x:c>
      <x:c r="L10" s="12" t="n">
        <x:f>K10/(1+Inputs!$B$7)^D10</x:f>
        <x:v>206.1393183752454</x:v>
      </x:c>
      <x:c r="M10" s="14" t="n">
        <x:v>0</x:v>
      </x:c>
      <x:c r="N10" s="13" t="n">
        <x:f>L10*M10</x:f>
        <x:v>0</x:v>
      </x:c>
      <x:c r="O10" s="21" t="n">
        <x:f>F10*M10</x:f>
        <x:v>0</x:v>
      </x:c>
      <x:c r="P10" s="1"/>
      <x:c r="Q10" s="1"/>
    </x:row>
    <x:row r="11" ht="23" customHeight="1">
      <x:c r="A11" s="9" t="n">
        <x:f>Inputs!A20</x:f>
        <x:v>1</x:v>
      </x:c>
      <x:c r="B11" s="9" t="n">
        <x:f>Inputs!B20</x:f>
        <x:v>2</x:v>
      </x:c>
      <x:c r="C11" s="1" t="n">
        <x:v>2</x:v>
      </x:c>
      <x:c r="D11" s="9" t="n">
        <x:f>IF(C11=0,0,(C11-0.5)*Inputs!$B$15)</x:f>
        <x:v>15</x:v>
      </x:c>
      <x:c r="E11" s="9" t="n">
        <x:f>IF(C11=0,0,Inputs!C20+D11)</x:f>
        <x:v>30</x:v>
      </x:c>
      <x:c r="F11" s="9" t="n">
        <x:f>IF(C11=0,0,VLOOKUP(E11,Inputs!$F$19:$H$23,A11+1,FALSE))</x:f>
        <x:v>22</x:v>
      </x:c>
      <x:c r="G11" s="9" t="n">
        <x:f>IF(C11=0,Inputs!C20+Inputs!$B$14,Inputs!$B$14-D11)</x:f>
        <x:v>5</x:v>
      </x:c>
      <x:c r="H11" s="12" t="n">
        <x:f>F11*Inputs!$B$8</x:f>
        <x:v>660</x:v>
      </x:c>
      <x:c r="I11" s="12" t="n">
        <x:f>IF(C11=0,0,Inputs!$B$9+F11*Inputs!$B$10)</x:f>
        <x:v>21.6</x:v>
      </x:c>
      <x:c r="J11" s="12" t="n">
        <x:f>IF(C11=0,0,Inputs!$B$11)</x:f>
        <x:v>150</x:v>
      </x:c>
      <x:c r="K11" s="13" t="n">
        <x:f>H11-I11-J11</x:f>
        <x:v>488.4</x:v>
      </x:c>
      <x:c r="L11" s="12" t="n">
        <x:f>K11/(1+Inputs!$B$7)^D11</x:f>
        <x:v>271.19118312516343</x:v>
      </x:c>
      <x:c r="M11" s="14" t="n">
        <x:v>0</x:v>
      </x:c>
      <x:c r="N11" s="13" t="n">
        <x:f>L11*M11</x:f>
        <x:v>0</x:v>
      </x:c>
      <x:c r="O11" s="21" t="n">
        <x:f>F11*M11</x:f>
        <x:v>0</x:v>
      </x:c>
      <x:c r="P11" s="1"/>
      <x:c r="Q11" s="1"/>
    </x:row>
    <x:row r="12" ht="23" customHeight="1">
      <x:c r="A12" s="9" t="n">
        <x:f>Inputs!A20</x:f>
        <x:v>1</x:v>
      </x:c>
      <x:c r="B12" s="9" t="n">
        <x:f>Inputs!B20</x:f>
        <x:v>2</x:v>
      </x:c>
      <x:c r="C12" s="1" t="n">
        <x:v>0</x:v>
      </x:c>
      <x:c r="D12" s="9" t="n">
        <x:f>IF(C12=0,0,(C12-0.5)*Inputs!$B$15)</x:f>
        <x:v>0</x:v>
      </x:c>
      <x:c r="E12" s="9" t="n">
        <x:f>IF(C12=0,0,Inputs!C20+D12)</x:f>
        <x:v>0</x:v>
      </x:c>
      <x:c r="F12" s="9" t="n">
        <x:f>IF(C12=0,0,VLOOKUP(E12,Inputs!$F$19:$H$23,A12+1,FALSE))</x:f>
        <x:v>0</x:v>
      </x:c>
      <x:c r="G12" s="9" t="n">
        <x:f>IF(C12=0,Inputs!C20+Inputs!$B$14,Inputs!$B$14-D12)</x:f>
        <x:v>35</x:v>
      </x:c>
      <x:c r="H12" s="12" t="n">
        <x:f>F12*Inputs!$B$8</x:f>
        <x:v>0</x:v>
      </x:c>
      <x:c r="I12" s="12" t="n">
        <x:f>IF(C12=0,0,Inputs!$B$9+F12*Inputs!$B$10)</x:f>
        <x:v>0</x:v>
      </x:c>
      <x:c r="J12" s="12" t="n">
        <x:f>IF(C12=0,0,Inputs!$B$11)</x:f>
        <x:v>0</x:v>
      </x:c>
      <x:c r="K12" s="13" t="n">
        <x:f>H12-I12-J12</x:f>
        <x:v>0</x:v>
      </x:c>
      <x:c r="L12" s="12" t="n">
        <x:f>K12/(1+Inputs!$B$7)^D12</x:f>
        <x:v>0</x:v>
      </x:c>
      <x:c r="M12" s="14" t="n">
        <x:v>910.0000000000001</x:v>
      </x:c>
      <x:c r="N12" s="13" t="n">
        <x:f>L12*M12</x:f>
        <x:v>0</x:v>
      </x:c>
      <x:c r="O12" s="21" t="n">
        <x:f>F12*M12</x:f>
        <x:v>0</x:v>
      </x:c>
      <x:c r="P12" s="1"/>
      <x:c r="Q12" s="1"/>
    </x:row>
    <x:row r="13" ht="23" customHeight="1">
      <x:c r="A13" s="9" t="n">
        <x:f>Inputs!A21</x:f>
        <x:v>1</x:v>
      </x:c>
      <x:c r="B13" s="9" t="n">
        <x:f>Inputs!B21</x:f>
        <x:v>3</x:v>
      </x:c>
      <x:c r="C13" s="1" t="n">
        <x:v>1</x:v>
      </x:c>
      <x:c r="D13" s="9" t="n">
        <x:f>IF(C13=0,0,(C13-0.5)*Inputs!$B$15)</x:f>
        <x:v>5</x:v>
      </x:c>
      <x:c r="E13" s="9" t="n">
        <x:f>IF(C13=0,0,Inputs!C21+D13)</x:f>
        <x:v>30</x:v>
      </x:c>
      <x:c r="F13" s="9" t="n">
        <x:f>IF(C13=0,0,VLOOKUP(E13,Inputs!$F$19:$H$23,A13+1,FALSE))</x:f>
        <x:v>22</x:v>
      </x:c>
      <x:c r="G13" s="9" t="n">
        <x:f>IF(C13=0,Inputs!C21+Inputs!$B$14,Inputs!$B$14-D13)</x:f>
        <x:v>15</x:v>
      </x:c>
      <x:c r="H13" s="12" t="n">
        <x:f>F13*Inputs!$B$8</x:f>
        <x:v>660</x:v>
      </x:c>
      <x:c r="I13" s="12" t="n">
        <x:f>IF(C13=0,0,Inputs!$B$9+F13*Inputs!$B$10)</x:f>
        <x:v>21.6</x:v>
      </x:c>
      <x:c r="J13" s="12" t="n">
        <x:f>IF(C13=0,0,Inputs!$B$11)</x:f>
        <x:v>150</x:v>
      </x:c>
      <x:c r="K13" s="13" t="n">
        <x:f>H13-I13-J13</x:f>
        <x:v>488.4</x:v>
      </x:c>
      <x:c r="L13" s="12" t="n">
        <x:f>K13/(1+Inputs!$B$7)^D13</x:f>
        <x:v>401.4291989412674</x:v>
      </x:c>
      <x:c r="M13" s="14" t="n">
        <x:v>708.222222222222</x:v>
      </x:c>
      <x:c r="N13" s="13" t="n">
        <x:f>L13*M13</x:f>
        <x:v>284301.0793390708</x:v>
      </x:c>
      <x:c r="O13" s="21" t="n">
        <x:f>F13*M13</x:f>
        <x:v>15580.888888888883</x:v>
      </x:c>
      <x:c r="P13" s="1"/>
      <x:c r="Q13" s="1"/>
    </x:row>
    <x:row r="14" ht="23" customHeight="1">
      <x:c r="A14" s="9" t="n">
        <x:f>Inputs!A21</x:f>
        <x:v>1</x:v>
      </x:c>
      <x:c r="B14" s="9" t="n">
        <x:f>Inputs!B21</x:f>
        <x:v>3</x:v>
      </x:c>
      <x:c r="C14" s="1" t="n">
        <x:v>2</x:v>
      </x:c>
      <x:c r="D14" s="9" t="n">
        <x:f>IF(C14=0,0,(C14-0.5)*Inputs!$B$15)</x:f>
        <x:v>15</x:v>
      </x:c>
      <x:c r="E14" s="9" t="n">
        <x:f>IF(C14=0,0,Inputs!C21+D14)</x:f>
        <x:v>40</x:v>
      </x:c>
      <x:c r="F14" s="9" t="n">
        <x:f>IF(C14=0,0,VLOOKUP(E14,Inputs!$F$19:$H$23,A14+1,FALSE))</x:f>
        <x:v>34</x:v>
      </x:c>
      <x:c r="G14" s="9" t="n">
        <x:f>IF(C14=0,Inputs!C21+Inputs!$B$14,Inputs!$B$14-D14)</x:f>
        <x:v>5</x:v>
      </x:c>
      <x:c r="H14" s="12" t="n">
        <x:f>F14*Inputs!$B$8</x:f>
        <x:v>1020</x:v>
      </x:c>
      <x:c r="I14" s="12" t="n">
        <x:f>IF(C14=0,0,Inputs!$B$9+F14*Inputs!$B$10)</x:f>
        <x:v>25.2</x:v>
      </x:c>
      <x:c r="J14" s="12" t="n">
        <x:f>IF(C14=0,0,Inputs!$B$11)</x:f>
        <x:v>150</x:v>
      </x:c>
      <x:c r="K14" s="13" t="n">
        <x:f>H14-I14-J14</x:f>
        <x:v>844.8</x:v>
      </x:c>
      <x:c r="L14" s="12" t="n">
        <x:f>K14/(1+Inputs!$B$7)^D14</x:f>
        <x:v>469.0874518921746</x:v>
      </x:c>
      <x:c r="M14" s="14" t="n">
        <x:v>351.77777777777806</x:v>
      </x:c>
      <x:c r="N14" s="13" t="n">
        <x:f>L14*M14</x:f>
        <x:v>165014.54141006956</x:v>
      </x:c>
      <x:c r="O14" s="21" t="n">
        <x:f>F14*M14</x:f>
        <x:v>11960.444444444454</x:v>
      </x:c>
      <x:c r="P14" s="1"/>
      <x:c r="Q14" s="1"/>
    </x:row>
    <x:row r="15" ht="23" customHeight="1">
      <x:c r="A15" s="9" t="n">
        <x:f>Inputs!A21</x:f>
        <x:v>1</x:v>
      </x:c>
      <x:c r="B15" s="9" t="n">
        <x:f>Inputs!B21</x:f>
        <x:v>3</x:v>
      </x:c>
      <x:c r="C15" s="1" t="n">
        <x:v>0</x:v>
      </x:c>
      <x:c r="D15" s="9" t="n">
        <x:f>IF(C15=0,0,(C15-0.5)*Inputs!$B$15)</x:f>
        <x:v>0</x:v>
      </x:c>
      <x:c r="E15" s="9" t="n">
        <x:f>IF(C15=0,0,Inputs!C21+D15)</x:f>
        <x:v>0</x:v>
      </x:c>
      <x:c r="F15" s="9" t="n">
        <x:f>IF(C15=0,0,VLOOKUP(E15,Inputs!$F$19:$H$23,A15+1,FALSE))</x:f>
        <x:v>0</x:v>
      </x:c>
      <x:c r="G15" s="9" t="n">
        <x:f>IF(C15=0,Inputs!C21+Inputs!$B$14,Inputs!$B$14-D15)</x:f>
        <x:v>45</x:v>
      </x:c>
      <x:c r="H15" s="12" t="n">
        <x:f>F15*Inputs!$B$8</x:f>
        <x:v>0</x:v>
      </x:c>
      <x:c r="I15" s="12" t="n">
        <x:f>IF(C15=0,0,Inputs!$B$9+F15*Inputs!$B$10)</x:f>
        <x:v>0</x:v>
      </x:c>
      <x:c r="J15" s="12" t="n">
        <x:f>IF(C15=0,0,Inputs!$B$11)</x:f>
        <x:v>0</x:v>
      </x:c>
      <x:c r="K15" s="13" t="n">
        <x:f>H15-I15-J15</x:f>
        <x:v>0</x:v>
      </x:c>
      <x:c r="L15" s="12" t="n">
        <x:f>K15/(1+Inputs!$B$7)^D15</x:f>
        <x:v>0</x:v>
      </x:c>
      <x:c r="M15" s="14" t="n">
        <x:v>0</x:v>
      </x:c>
      <x:c r="N15" s="13" t="n">
        <x:f>L15*M15</x:f>
        <x:v>0</x:v>
      </x:c>
      <x:c r="O15" s="21" t="n">
        <x:f>F15*M15</x:f>
        <x:v>0</x:v>
      </x:c>
      <x:c r="P15" s="1"/>
      <x:c r="Q15" s="1"/>
    </x:row>
    <x:row r="16" ht="23" customHeight="1">
      <x:c r="A16" s="9" t="n">
        <x:f>Inputs!A22</x:f>
        <x:v>2</x:v>
      </x:c>
      <x:c r="B16" s="9" t="n">
        <x:f>Inputs!B22</x:f>
        <x:v>1</x:v>
      </x:c>
      <x:c r="C16" s="1" t="n">
        <x:v>1</x:v>
      </x:c>
      <x:c r="D16" s="9" t="n">
        <x:f>IF(C16=0,0,(C16-0.5)*Inputs!$B$15)</x:f>
        <x:v>5</x:v>
      </x:c>
      <x:c r="E16" s="9" t="n">
        <x:f>IF(C16=0,0,Inputs!C22+D16)</x:f>
        <x:v>10</x:v>
      </x:c>
      <x:c r="F16" s="9" t="n">
        <x:f>IF(C16=0,0,VLOOKUP(E16,Inputs!$F$19:$H$23,A16+1,FALSE))</x:f>
        <x:v>2</x:v>
      </x:c>
      <x:c r="G16" s="9" t="n">
        <x:f>IF(C16=0,Inputs!C22+Inputs!$B$14,Inputs!$B$14-D16)</x:f>
        <x:v>15</x:v>
      </x:c>
      <x:c r="H16" s="12" t="n">
        <x:f>F16*Inputs!$B$8</x:f>
        <x:v>60</x:v>
      </x:c>
      <x:c r="I16" s="12" t="n">
        <x:f>IF(C16=0,0,Inputs!$B$9+F16*Inputs!$B$10)</x:f>
        <x:v>15.6</x:v>
      </x:c>
      <x:c r="J16" s="12" t="n">
        <x:f>IF(C16=0,0,Inputs!$B$11)</x:f>
        <x:v>150</x:v>
      </x:c>
      <x:c r="K16" s="13" t="n">
        <x:f>H16-I16-J16</x:f>
        <x:v>-105.6</x:v>
      </x:c>
      <x:c r="L16" s="12" t="n">
        <x:f>K16/(1+Inputs!$B$7)^D16</x:f>
        <x:v>-86.79550247378754</x:v>
      </x:c>
      <x:c r="M16" s="14" t="n">
        <x:v>0</x:v>
      </x:c>
      <x:c r="N16" s="13" t="n">
        <x:f>L16*M16</x:f>
        <x:v>0</x:v>
      </x:c>
      <x:c r="O16" s="21" t="n">
        <x:f>F16*M16</x:f>
        <x:v>0</x:v>
      </x:c>
      <x:c r="P16" s="1"/>
      <x:c r="Q16" s="1"/>
    </x:row>
    <x:row r="17" ht="23" customHeight="1">
      <x:c r="A17" s="9" t="n">
        <x:f>Inputs!A22</x:f>
        <x:v>2</x:v>
      </x:c>
      <x:c r="B17" s="9" t="n">
        <x:f>Inputs!B22</x:f>
        <x:v>1</x:v>
      </x:c>
      <x:c r="C17" s="1" t="n">
        <x:v>2</x:v>
      </x:c>
      <x:c r="D17" s="9" t="n">
        <x:f>IF(C17=0,0,(C17-0.5)*Inputs!$B$15)</x:f>
        <x:v>15</x:v>
      </x:c>
      <x:c r="E17" s="9" t="n">
        <x:f>IF(C17=0,0,Inputs!C22+D17)</x:f>
        <x:v>20</x:v>
      </x:c>
      <x:c r="F17" s="9" t="n">
        <x:f>IF(C17=0,0,VLOOKUP(E17,Inputs!$F$19:$H$23,A17+1,FALSE))</x:f>
        <x:v>18</x:v>
      </x:c>
      <x:c r="G17" s="9" t="n">
        <x:f>IF(C17=0,Inputs!C22+Inputs!$B$14,Inputs!$B$14-D17)</x:f>
        <x:v>5</x:v>
      </x:c>
      <x:c r="H17" s="12" t="n">
        <x:f>F17*Inputs!$B$8</x:f>
        <x:v>540</x:v>
      </x:c>
      <x:c r="I17" s="12" t="n">
        <x:f>IF(C17=0,0,Inputs!$B$9+F17*Inputs!$B$10)</x:f>
        <x:v>20.4</x:v>
      </x:c>
      <x:c r="J17" s="12" t="n">
        <x:f>IF(C17=0,0,Inputs!$B$11)</x:f>
        <x:v>150</x:v>
      </x:c>
      <x:c r="K17" s="13" t="n">
        <x:f>H17-I17-J17</x:f>
        <x:v>369.6</x:v>
      </x:c>
      <x:c r="L17" s="12" t="n">
        <x:f>K17/(1+Inputs!$B$7)^D17</x:f>
        <x:v>205.2257602028264</x:v>
      </x:c>
      <x:c r="M17" s="14" t="n">
        <x:v>329.1111111111125</x:v>
      </x:c>
      <x:c r="N17" s="13" t="n">
        <x:f>L17*M17</x:f>
        <x:v>67542.07796897493</x:v>
      </x:c>
      <x:c r="O17" s="21" t="n">
        <x:f>F17*M17</x:f>
        <x:v>5924.0000000000255</x:v>
      </x:c>
      <x:c r="P17" s="1"/>
      <x:c r="Q17" s="1"/>
    </x:row>
    <x:row r="18" ht="23" customHeight="1">
      <x:c r="A18" s="9" t="n">
        <x:f>Inputs!A22</x:f>
        <x:v>2</x:v>
      </x:c>
      <x:c r="B18" s="9" t="n">
        <x:f>Inputs!B22</x:f>
        <x:v>1</x:v>
      </x:c>
      <x:c r="C18" s="1" t="n">
        <x:v>0</x:v>
      </x:c>
      <x:c r="D18" s="9" t="n">
        <x:f>IF(C18=0,0,(C18-0.5)*Inputs!$B$15)</x:f>
        <x:v>0</x:v>
      </x:c>
      <x:c r="E18" s="9" t="n">
        <x:f>IF(C18=0,0,Inputs!C22+D18)</x:f>
        <x:v>0</x:v>
      </x:c>
      <x:c r="F18" s="9" t="n">
        <x:f>IF(C18=0,0,VLOOKUP(E18,Inputs!$F$19:$H$23,A18+1,FALSE))</x:f>
        <x:v>0</x:v>
      </x:c>
      <x:c r="G18" s="9" t="n">
        <x:f>IF(C18=0,Inputs!C22+Inputs!$B$14,Inputs!$B$14-D18)</x:f>
        <x:v>25</x:v>
      </x:c>
      <x:c r="H18" s="12" t="n">
        <x:f>F18*Inputs!$B$8</x:f>
        <x:v>0</x:v>
      </x:c>
      <x:c r="I18" s="12" t="n">
        <x:f>IF(C18=0,0,Inputs!$B$9+F18*Inputs!$B$10)</x:f>
        <x:v>0</x:v>
      </x:c>
      <x:c r="J18" s="12" t="n">
        <x:f>IF(C18=0,0,Inputs!$B$11)</x:f>
        <x:v>0</x:v>
      </x:c>
      <x:c r="K18" s="13" t="n">
        <x:f>H18-I18-J18</x:f>
        <x:v>0</x:v>
      </x:c>
      <x:c r="L18" s="12" t="n">
        <x:f>K18/(1+Inputs!$B$7)^D18</x:f>
        <x:v>0</x:v>
      </x:c>
      <x:c r="M18" s="14" t="n">
        <x:v>620.8888888888877</x:v>
      </x:c>
      <x:c r="N18" s="13" t="n">
        <x:f>L18*M18</x:f>
        <x:v>0</x:v>
      </x:c>
      <x:c r="O18" s="21" t="n">
        <x:f>F18*M18</x:f>
        <x:v>0</x:v>
      </x:c>
      <x:c r="P18" s="1"/>
      <x:c r="Q18" s="1"/>
    </x:row>
    <x:row r="19" ht="23" customHeight="1">
      <x:c r="A19" s="9" t="n">
        <x:f>Inputs!A23</x:f>
        <x:v>2</x:v>
      </x:c>
      <x:c r="B19" s="9" t="n">
        <x:f>Inputs!B23</x:f>
        <x:v>2</x:v>
      </x:c>
      <x:c r="C19" s="1" t="n">
        <x:v>1</x:v>
      </x:c>
      <x:c r="D19" s="9" t="n">
        <x:f>IF(C19=0,0,(C19-0.5)*Inputs!$B$15)</x:f>
        <x:v>5</x:v>
      </x:c>
      <x:c r="E19" s="9" t="n">
        <x:f>IF(C19=0,0,Inputs!C23+D19)</x:f>
        <x:v>20</x:v>
      </x:c>
      <x:c r="F19" s="9" t="n">
        <x:f>IF(C19=0,0,VLOOKUP(E19,Inputs!$F$19:$H$23,A19+1,FALSE))</x:f>
        <x:v>18</x:v>
      </x:c>
      <x:c r="G19" s="9" t="n">
        <x:f>IF(C19=0,Inputs!C23+Inputs!$B$14,Inputs!$B$14-D19)</x:f>
        <x:v>15</x:v>
      </x:c>
      <x:c r="H19" s="12" t="n">
        <x:f>F19*Inputs!$B$8</x:f>
        <x:v>540</x:v>
      </x:c>
      <x:c r="I19" s="12" t="n">
        <x:f>IF(C19=0,0,Inputs!$B$9+F19*Inputs!$B$10)</x:f>
        <x:v>20.4</x:v>
      </x:c>
      <x:c r="J19" s="12" t="n">
        <x:f>IF(C19=0,0,Inputs!$B$11)</x:f>
        <x:v>150</x:v>
      </x:c>
      <x:c r="K19" s="13" t="n">
        <x:f>H19-I19-J19</x:f>
        <x:v>369.6</x:v>
      </x:c>
      <x:c r="L19" s="12" t="n">
        <x:f>K19/(1+Inputs!$B$7)^D19</x:f>
        <x:v>303.7842586582564</x:v>
      </x:c>
      <x:c r="M19" s="14" t="n">
        <x:v>0</x:v>
      </x:c>
      <x:c r="N19" s="13" t="n">
        <x:f>L19*M19</x:f>
        <x:v>0</x:v>
      </x:c>
      <x:c r="O19" s="21" t="n">
        <x:f>F19*M19</x:f>
        <x:v>0</x:v>
      </x:c>
      <x:c r="P19" s="1"/>
      <x:c r="Q19" s="1"/>
    </x:row>
    <x:row r="20" ht="23" customHeight="1">
      <x:c r="A20" s="9" t="n">
        <x:f>Inputs!A23</x:f>
        <x:v>2</x:v>
      </x:c>
      <x:c r="B20" s="9" t="n">
        <x:f>Inputs!B23</x:f>
        <x:v>2</x:v>
      </x:c>
      <x:c r="C20" s="1" t="n">
        <x:v>2</x:v>
      </x:c>
      <x:c r="D20" s="9" t="n">
        <x:f>IF(C20=0,0,(C20-0.5)*Inputs!$B$15)</x:f>
        <x:v>15</x:v>
      </x:c>
      <x:c r="E20" s="9" t="n">
        <x:f>IF(C20=0,0,Inputs!C23+D20)</x:f>
        <x:v>30</x:v>
      </x:c>
      <x:c r="F20" s="9" t="n">
        <x:f>IF(C20=0,0,VLOOKUP(E20,Inputs!$F$19:$H$23,A20+1,FALSE))</x:f>
        <x:v>31</x:v>
      </x:c>
      <x:c r="G20" s="9" t="n">
        <x:f>IF(C20=0,Inputs!C23+Inputs!$B$14,Inputs!$B$14-D20)</x:f>
        <x:v>5</x:v>
      </x:c>
      <x:c r="H20" s="12" t="n">
        <x:f>F20*Inputs!$B$8</x:f>
        <x:v>930</x:v>
      </x:c>
      <x:c r="I20" s="12" t="n">
        <x:f>IF(C20=0,0,Inputs!$B$9+F20*Inputs!$B$10)</x:f>
        <x:v>24.299999999999997</x:v>
      </x:c>
      <x:c r="J20" s="12" t="n">
        <x:f>IF(C20=0,0,Inputs!$B$11)</x:f>
        <x:v>150</x:v>
      </x:c>
      <x:c r="K20" s="13" t="n">
        <x:f>H20-I20-J20</x:f>
        <x:v>755.7</x:v>
      </x:c>
      <x:c r="L20" s="12" t="n">
        <x:f>K20/(1+Inputs!$B$7)^D20</x:f>
        <x:v>419.6133847004218</x:v>
      </x:c>
      <x:c r="M20" s="14" t="n">
        <x:v>1080.0000000000007</x:v>
      </x:c>
      <x:c r="N20" s="13" t="n">
        <x:f>L20*M20</x:f>
        <x:v>453182.45547645586</x:v>
      </x:c>
      <x:c r="O20" s="21" t="n">
        <x:f>F20*M20</x:f>
        <x:v>33480.00000000002</x:v>
      </x:c>
      <x:c r="P20" s="1"/>
      <x:c r="Q20" s="1"/>
    </x:row>
    <x:row r="21" ht="23" customHeight="1">
      <x:c r="A21" s="9" t="n">
        <x:f>Inputs!A23</x:f>
        <x:v>2</x:v>
      </x:c>
      <x:c r="B21" s="9" t="n">
        <x:f>Inputs!B23</x:f>
        <x:v>2</x:v>
      </x:c>
      <x:c r="C21" s="1" t="n">
        <x:v>0</x:v>
      </x:c>
      <x:c r="D21" s="9" t="n">
        <x:f>IF(C21=0,0,(C21-0.5)*Inputs!$B$15)</x:f>
        <x:v>0</x:v>
      </x:c>
      <x:c r="E21" s="9" t="n">
        <x:f>IF(C21=0,0,Inputs!C23+D21)</x:f>
        <x:v>0</x:v>
      </x:c>
      <x:c r="F21" s="9" t="n">
        <x:f>IF(C21=0,0,VLOOKUP(E21,Inputs!$F$19:$H$23,A21+1,FALSE))</x:f>
        <x:v>0</x:v>
      </x:c>
      <x:c r="G21" s="9" t="n">
        <x:f>IF(C21=0,Inputs!C23+Inputs!$B$14,Inputs!$B$14-D21)</x:f>
        <x:v>35</x:v>
      </x:c>
      <x:c r="H21" s="12" t="n">
        <x:f>F21*Inputs!$B$8</x:f>
        <x:v>0</x:v>
      </x:c>
      <x:c r="I21" s="12" t="n">
        <x:f>IF(C21=0,0,Inputs!$B$9+F21*Inputs!$B$10)</x:f>
        <x:v>0</x:v>
      </x:c>
      <x:c r="J21" s="12" t="n">
        <x:f>IF(C21=0,0,Inputs!$B$11)</x:f>
        <x:v>0</x:v>
      </x:c>
      <x:c r="K21" s="13" t="n">
        <x:f>H21-I21-J21</x:f>
        <x:v>0</x:v>
      </x:c>
      <x:c r="L21" s="12" t="n">
        <x:f>K21/(1+Inputs!$B$7)^D21</x:f>
        <x:v>0</x:v>
      </x:c>
      <x:c r="M21" s="14" t="n">
        <x:v>0</x:v>
      </x:c>
      <x:c r="N21" s="13" t="n">
        <x:f>L21*M21</x:f>
        <x:v>0</x:v>
      </x:c>
      <x:c r="O21" s="21" t="n">
        <x:f>F21*M21</x:f>
        <x:v>0</x:v>
      </x:c>
      <x:c r="P21" s="1"/>
      <x:c r="Q21" s="1"/>
    </x:row>
    <x:row r="22" ht="23" customHeight="1">
      <x:c r="A22" s="9" t="n">
        <x:f>Inputs!A24</x:f>
        <x:v>2</x:v>
      </x:c>
      <x:c r="B22" s="9" t="n">
        <x:f>Inputs!B24</x:f>
        <x:v>3</x:v>
      </x:c>
      <x:c r="C22" s="1" t="n">
        <x:v>1</x:v>
      </x:c>
      <x:c r="D22" s="9" t="n">
        <x:f>IF(C22=0,0,(C22-0.5)*Inputs!$B$15)</x:f>
        <x:v>5</x:v>
      </x:c>
      <x:c r="E22" s="9" t="n">
        <x:f>IF(C22=0,0,Inputs!C24+D22)</x:f>
        <x:v>30</x:v>
      </x:c>
      <x:c r="F22" s="9" t="n">
        <x:f>IF(C22=0,0,VLOOKUP(E22,Inputs!$F$19:$H$23,A22+1,FALSE))</x:f>
        <x:v>31</x:v>
      </x:c>
      <x:c r="G22" s="9" t="n">
        <x:f>IF(C22=0,Inputs!C24+Inputs!$B$14,Inputs!$B$14-D22)</x:f>
        <x:v>15</x:v>
      </x:c>
      <x:c r="H22" s="12" t="n">
        <x:f>F22*Inputs!$B$8</x:f>
        <x:v>930</x:v>
      </x:c>
      <x:c r="I22" s="12" t="n">
        <x:f>IF(C22=0,0,Inputs!$B$9+F22*Inputs!$B$10)</x:f>
        <x:v>24.299999999999997</x:v>
      </x:c>
      <x:c r="J22" s="12" t="n">
        <x:f>IF(C22=0,0,Inputs!$B$11)</x:f>
        <x:v>150</x:v>
      </x:c>
      <x:c r="K22" s="13" t="n">
        <x:f>H22-I22-J22</x:f>
        <x:v>755.7</x:v>
      </x:c>
      <x:c r="L22" s="12" t="n">
        <x:f>K22/(1+Inputs!$B$7)^D22</x:f>
        <x:v>621.1303145780421</x:v>
      </x:c>
      <x:c r="M22" s="14" t="n">
        <x:v>1320.0000000000014</x:v>
      </x:c>
      <x:c r="N22" s="13" t="n">
        <x:f>L22*M22</x:f>
        <x:v>819892.0152430164</x:v>
      </x:c>
      <x:c r="O22" s="21" t="n">
        <x:f>F22*M22</x:f>
        <x:v>40920.000000000044</x:v>
      </x:c>
      <x:c r="P22" s="1"/>
      <x:c r="Q22" s="1"/>
    </x:row>
    <x:row r="23" ht="23" customHeight="1">
      <x:c r="A23" s="9" t="n">
        <x:f>Inputs!A24</x:f>
        <x:v>2</x:v>
      </x:c>
      <x:c r="B23" s="9" t="n">
        <x:f>Inputs!B24</x:f>
        <x:v>3</x:v>
      </x:c>
      <x:c r="C23" s="1" t="n">
        <x:v>2</x:v>
      </x:c>
      <x:c r="D23" s="9" t="n">
        <x:f>IF(C23=0,0,(C23-0.5)*Inputs!$B$15)</x:f>
        <x:v>15</x:v>
      </x:c>
      <x:c r="E23" s="9" t="n">
        <x:f>IF(C23=0,0,Inputs!C24+D23)</x:f>
        <x:v>40</x:v>
      </x:c>
      <x:c r="F23" s="9" t="n">
        <x:f>IF(C23=0,0,VLOOKUP(E23,Inputs!$F$19:$H$23,A23+1,FALSE))</x:f>
        <x:v>43</x:v>
      </x:c>
      <x:c r="G23" s="9" t="n">
        <x:f>IF(C23=0,Inputs!C24+Inputs!$B$14,Inputs!$B$14-D23)</x:f>
        <x:v>5</x:v>
      </x:c>
      <x:c r="H23" s="12" t="n">
        <x:f>F23*Inputs!$B$8</x:f>
        <x:v>1290</x:v>
      </x:c>
      <x:c r="I23" s="12" t="n">
        <x:f>IF(C23=0,0,Inputs!$B$9+F23*Inputs!$B$10)</x:f>
        <x:v>27.9</x:v>
      </x:c>
      <x:c r="J23" s="12" t="n">
        <x:f>IF(C23=0,0,Inputs!$B$11)</x:f>
        <x:v>150</x:v>
      </x:c>
      <x:c r="K23" s="13" t="n">
        <x:f>H23-I23-J23</x:f>
        <x:v>1112.1</x:v>
      </x:c>
      <x:c r="L23" s="12" t="n">
        <x:f>K23/(1+Inputs!$B$7)^D23</x:f>
        <x:v>617.5096534674329</x:v>
      </x:c>
      <x:c r="M23" s="14" t="n">
        <x:v>0</x:v>
      </x:c>
      <x:c r="N23" s="13" t="n">
        <x:f>L23*M23</x:f>
        <x:v>0</x:v>
      </x:c>
      <x:c r="O23" s="21" t="n">
        <x:f>F23*M23</x:f>
        <x:v>0</x:v>
      </x:c>
      <x:c r="P23" s="1"/>
      <x:c r="Q23" s="1"/>
    </x:row>
    <x:row r="24" ht="23" customHeight="1">
      <x:c r="A24" s="9" t="n">
        <x:f>Inputs!A24</x:f>
        <x:v>2</x:v>
      </x:c>
      <x:c r="B24" s="9" t="n">
        <x:f>Inputs!B24</x:f>
        <x:v>3</x:v>
      </x:c>
      <x:c r="C24" s="1" t="n">
        <x:v>0</x:v>
      </x:c>
      <x:c r="D24" s="9" t="n">
        <x:f>IF(C24=0,0,(C24-0.5)*Inputs!$B$15)</x:f>
        <x:v>0</x:v>
      </x:c>
      <x:c r="E24" s="9" t="n">
        <x:f>IF(C24=0,0,Inputs!C24+D24)</x:f>
        <x:v>0</x:v>
      </x:c>
      <x:c r="F24" s="9" t="n">
        <x:f>IF(C24=0,0,VLOOKUP(E24,Inputs!$F$19:$H$23,A24+1,FALSE))</x:f>
        <x:v>0</x:v>
      </x:c>
      <x:c r="G24" s="9" t="n">
        <x:f>IF(C24=0,Inputs!C24+Inputs!$B$14,Inputs!$B$14-D24)</x:f>
        <x:v>45</x:v>
      </x:c>
      <x:c r="H24" s="12" t="n">
        <x:f>F24*Inputs!$B$8</x:f>
        <x:v>0</x:v>
      </x:c>
      <x:c r="I24" s="12" t="n">
        <x:f>IF(C24=0,0,Inputs!$B$9+F24*Inputs!$B$10)</x:f>
        <x:v>0</x:v>
      </x:c>
      <x:c r="J24" s="12" t="n">
        <x:f>IF(C24=0,0,Inputs!$B$11)</x:f>
        <x:v>0</x:v>
      </x:c>
      <x:c r="K24" s="13" t="n">
        <x:f>H24-I24-J24</x:f>
        <x:v>0</x:v>
      </x:c>
      <x:c r="L24" s="12" t="n">
        <x:f>K24/(1+Inputs!$B$7)^D24</x:f>
        <x:v>0</x:v>
      </x:c>
      <x:c r="M24" s="14" t="n">
        <x:v>0</x:v>
      </x:c>
      <x:c r="N24" s="13" t="n">
        <x:f>L24*M24</x:f>
        <x:v>0</x:v>
      </x:c>
      <x:c r="O24" s="21" t="n">
        <x:f>F24*M24</x:f>
        <x:v>0</x:v>
      </x:c>
      <x:c r="P24" s="1"/>
      <x:c r="Q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40" customHeight="1">
      <x:c r="A28" s="5" t="str">
        <x:v>Land group</x:v>
      </x:c>
      <x:c r="B28" s="5" t="str">
        <x:v>Assigned acres</x:v>
      </x:c>
      <x:c r="C28" s="5" t="str">
        <x:v>Available acres</x:v>
      </x:c>
      <x:c r="D28" s="5" t="str">
        <x:v>Difference</x:v>
      </x:c>
      <x:c r="E28" s="1"/>
      <x:c r="F28" s="5" t="str">
        <x:v>Constraint</x:v>
      </x:c>
      <x:c r="G28" s="5" t="str">
        <x:v>Left side</x:v>
      </x:c>
      <x:c r="H28" s="5" t="str">
        <x:v>Right side</x:v>
      </x:c>
      <x:c r="I28" s="5" t="str">
        <x:v>Slack</x:v>
      </x:c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 t="str">
        <x:v>Group 1</x:v>
      </x:c>
      <x:c r="B29" s="10" t="n">
        <x:f>SUM(M7:M9)</x:f>
        <x:v>480</x:v>
      </x:c>
      <x:c r="C29" s="9" t="n">
        <x:f>Inputs!D19</x:f>
        <x:v>480</x:v>
      </x:c>
      <x:c r="D29" s="10" t="n">
        <x:f>B29-C29</x:f>
        <x:v>0</x:v>
      </x:c>
      <x:c r="E29" s="1"/>
      <x:c r="F29" s="1" t="str">
        <x:v>P1 &lt;= 1.1 P2</x:v>
      </x:c>
      <x:c r="G29" s="9" t="n">
        <x:f>Results!B8</x:f>
        <x:v>56500.88888888893</x:v>
      </x:c>
      <x:c r="H29" s="9" t="n">
        <x:f>(1+Inputs!B12)*Results!C8</x:f>
        <x:v>56500.888888888956</x:v>
      </x:c>
      <x:c r="I29" s="10" t="n">
        <x:f>H29-G29</x:f>
        <x:v>2.9103830456733704e-11</x:v>
      </x:c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" t="str">
        <x:v>Group 2</x:v>
      </x:c>
      <x:c r="B30" s="10" t="n">
        <x:f>SUM(M10:M12)</x:f>
        <x:v>910.0000000000001</x:v>
      </x:c>
      <x:c r="C30" s="9" t="n">
        <x:f>Inputs!D20</x:f>
        <x:v>910</x:v>
      </x:c>
      <x:c r="D30" s="10" t="n">
        <x:f>B30-C30</x:f>
        <x:v>1.1368683772161603e-13</x:v>
      </x:c>
      <x:c r="E30" s="1"/>
      <x:c r="F30" s="1" t="str">
        <x:v>P1 &gt;= 0.9 P2</x:v>
      </x:c>
      <x:c r="G30" s="9" t="n">
        <x:f>(1-Inputs!B12)*Results!C8</x:f>
        <x:v>46228.00000000005</x:v>
      </x:c>
      <x:c r="H30" s="9" t="n">
        <x:f>Results!B8</x:f>
        <x:v>56500.88888888893</x:v>
      </x:c>
      <x:c r="I30" s="10" t="n">
        <x:f>H30-G30</x:f>
        <x:v>10272.888888888876</x:v>
      </x:c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 t="str">
        <x:v>Group 3</x:v>
      </x:c>
      <x:c r="B31" s="10" t="n">
        <x:f>SUM(M13:M15)</x:f>
        <x:v>1060</x:v>
      </x:c>
      <x:c r="C31" s="9" t="n">
        <x:f>Inputs!D21</x:f>
        <x:v>1060</x:v>
      </x:c>
      <x:c r="D31" s="10" t="n">
        <x:f>B31-C31</x:f>
        <x:v>0</x:v>
      </x:c>
      <x:c r="E31" s="1"/>
      <x:c r="F31" s="1" t="str">
        <x:v>P2 &lt;= 1.1 P1</x:v>
      </x:c>
      <x:c r="G31" s="9" t="n">
        <x:f>Results!C8</x:f>
        <x:v>51364.4444444445</x:v>
      </x:c>
      <x:c r="H31" s="9" t="n">
        <x:f>(1+Inputs!B12)*Results!B8</x:f>
        <x:v>62150.97777777782</x:v>
      </x:c>
      <x:c r="I31" s="10" t="n">
        <x:f>H31-G31</x:f>
        <x:v>10786.533333333318</x:v>
      </x:c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" t="str">
        <x:v>Group 4</x:v>
      </x:c>
      <x:c r="B32" s="10" t="n">
        <x:f>SUM(M16:M18)</x:f>
        <x:v>950.0000000000002</x:v>
      </x:c>
      <x:c r="C32" s="9" t="n">
        <x:f>Inputs!D22</x:f>
        <x:v>950</x:v>
      </x:c>
      <x:c r="D32" s="10" t="n">
        <x:f>B32-C32</x:f>
        <x:v>2.2737367544323206e-13</x:v>
      </x:c>
      <x:c r="E32" s="1"/>
      <x:c r="F32" s="1" t="str">
        <x:v>P2 &gt;= 0.9 P1</x:v>
      </x:c>
      <x:c r="G32" s="9" t="n">
        <x:f>(1-Inputs!B12)*Results!B8</x:f>
        <x:v>50850.80000000003</x:v>
      </x:c>
      <x:c r="H32" s="9" t="n">
        <x:f>Results!C8</x:f>
        <x:v>51364.4444444445</x:v>
      </x:c>
      <x:c r="I32" s="10" t="n">
        <x:f>H32-G32</x:f>
        <x:v>513.6444444444714</x:v>
      </x:c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 t="str">
        <x:v>Group 5</x:v>
      </x:c>
      <x:c r="B33" s="10" t="n">
        <x:f>SUM(M19:M21)</x:f>
        <x:v>1080.0000000000007</x:v>
      </x:c>
      <x:c r="C33" s="9" t="n">
        <x:f>Inputs!D23</x:f>
        <x:v>1080</x:v>
      </x:c>
      <x:c r="D33" s="10" t="n">
        <x:f>B33-C33</x:f>
        <x:v>6.821210263296962e-13</x:v>
      </x:c>
      <x:c r="E33" s="1"/>
      <x:c r="F33" s="1" t="str">
        <x:v>Ending age minimum</x:v>
      </x:c>
      <x:c r="G33" s="9" t="n">
        <x:f>Inputs!B13</x:f>
        <x:v>17</x:v>
      </x:c>
      <x:c r="H33" s="9" t="n">
        <x:f>Results!B12</x:f>
        <x:v>17</x:v>
      </x:c>
      <x:c r="I33" s="10" t="n">
        <x:f>H33-G33</x:f>
        <x:v>0</x:v>
      </x:c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 t="str">
        <x:v>Group 6</x:v>
      </x:c>
      <x:c r="B34" s="10" t="n">
        <x:f>SUM(M22:M24)</x:f>
        <x:v>1320.0000000000014</x:v>
      </x:c>
      <x:c r="C34" s="9" t="n">
        <x:f>Inputs!D24</x:f>
        <x:v>1320</x:v>
      </x:c>
      <x:c r="D34" s="10" t="n">
        <x:f>B34-C34</x:f>
        <x:v>1.3642420526593924e-12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Inputs and source data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 t="str">
        <x:v>Source: Forest Resource Management, Chapter 12, Exercise 2, printed p. 258, Tables 12.15–12.16.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40" customHeight="1">
      <x:c r="A6" s="5" t="str">
        <x:v>Assumption</x:v>
      </x:c>
      <x:c r="B6" s="5" t="str">
        <x:v>Value</x:v>
      </x:c>
      <x:c r="C6" s="5" t="str">
        <x:v>Unit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1" t="str">
        <x:v>Real discount rate</x:v>
      </x:c>
      <x:c r="B7" s="8" t="n">
        <x:v>0.04</x:v>
      </x:c>
      <x:c r="C7" s="1" t="str">
        <x:v>annual fraction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1" t="str">
        <x:v>Stumpage price</x:v>
      </x:c>
      <x:c r="B8" s="7" t="n">
        <x:v>30</x:v>
      </x:c>
      <x:c r="C8" s="1" t="str">
        <x:v>USD/cord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1" t="str">
        <x:v>Sale cost per acre</x:v>
      </x:c>
      <x:c r="B9" s="7" t="n">
        <x:v>15</x:v>
      </x:c>
      <x:c r="C9" s="1" t="str">
        <x:v>USD/acre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1" t="str">
        <x:v>Sale cost per cord</x:v>
      </x:c>
      <x:c r="B10" s="7" t="n">
        <x:v>0.3</x:v>
      </x:c>
      <x:c r="C10" s="1" t="str">
        <x:v>USD/cord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" t="str">
        <x:v>Replanting cost</x:v>
      </x:c>
      <x:c r="B11" s="7" t="n">
        <x:v>150</x:v>
      </x:c>
      <x:c r="C11" s="1" t="str">
        <x:v>USD/acre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1" t="str">
        <x:v>Harvest-flow tolerance</x:v>
      </x:c>
      <x:c r="B12" s="8" t="n">
        <x:v>0.1</x:v>
      </x:c>
      <x:c r="C12" s="1" t="str">
        <x:v>fraction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" t="str">
        <x:v>Minimum ending age</x:v>
      </x:c>
      <x:c r="B13" s="7" t="n">
        <x:v>17</x:v>
      </x:c>
      <x:c r="C13" s="1" t="str">
        <x:v>years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" t="str">
        <x:v>Planning horizon</x:v>
      </x:c>
      <x:c r="B14" s="7" t="n">
        <x:v>20</x:v>
      </x:c>
      <x:c r="C14" s="1" t="str">
        <x:v>years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" t="str">
        <x:v>Period length</x:v>
      </x:c>
      <x:c r="B15" s="7" t="n">
        <x:v>10</x:v>
      </x:c>
      <x:c r="C15" s="1" t="str">
        <x:v>years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40" customHeight="1">
      <x:c r="A18" s="5" t="str">
        <x:v>Site class</x:v>
      </x:c>
      <x:c r="B18" s="5" t="str">
        <x:v>Age class</x:v>
      </x:c>
      <x:c r="C18" s="5" t="str">
        <x:v>Initial age (years)</x:v>
      </x:c>
      <x:c r="D18" s="5" t="str">
        <x:v>Area (acres)</x:v>
      </x:c>
      <x:c r="E18" s="1"/>
      <x:c r="F18" s="5" t="str">
        <x:v>Harvest age</x:v>
      </x:c>
      <x:c r="G18" s="5" t="str">
        <x:v>Site I cords/ac</x:v>
      </x:c>
      <x:c r="H18" s="5" t="str">
        <x:v>Site II cords/ac</x:v>
      </x:c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" t="n">
        <x:v>1</x:v>
      </x:c>
      <x:c r="B19" s="1" t="n">
        <x:v>1</x:v>
      </x:c>
      <x:c r="C19" s="1" t="n">
        <x:v>5</x:v>
      </x:c>
      <x:c r="D19" s="1" t="n">
        <x:v>480</x:v>
      </x:c>
      <x:c r="E19" s="1"/>
      <x:c r="F19" s="1" t="n">
        <x:v>10</x:v>
      </x:c>
      <x:c r="G19" s="1" t="n">
        <x:v>0</x:v>
      </x:c>
      <x:c r="H19" s="1" t="n">
        <x:v>2</x:v>
      </x:c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" t="n">
        <x:v>1</x:v>
      </x:c>
      <x:c r="B20" s="1" t="n">
        <x:v>2</x:v>
      </x:c>
      <x:c r="C20" s="1" t="n">
        <x:v>15</x:v>
      </x:c>
      <x:c r="D20" s="1" t="n">
        <x:v>910</x:v>
      </x:c>
      <x:c r="E20" s="1"/>
      <x:c r="F20" s="1" t="n">
        <x:v>20</x:v>
      </x:c>
      <x:c r="G20" s="1" t="n">
        <x:v>14</x:v>
      </x:c>
      <x:c r="H20" s="1" t="n">
        <x:v>18</x:v>
      </x:c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" t="n">
        <x:v>1</x:v>
      </x:c>
      <x:c r="B21" s="1" t="n">
        <x:v>3</x:v>
      </x:c>
      <x:c r="C21" s="1" t="n">
        <x:v>25</x:v>
      </x:c>
      <x:c r="D21" s="1" t="n">
        <x:v>1060</x:v>
      </x:c>
      <x:c r="E21" s="1"/>
      <x:c r="F21" s="1" t="n">
        <x:v>30</x:v>
      </x:c>
      <x:c r="G21" s="1" t="n">
        <x:v>22</x:v>
      </x:c>
      <x:c r="H21" s="1" t="n">
        <x:v>31</x:v>
      </x:c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" t="n">
        <x:v>2</x:v>
      </x:c>
      <x:c r="B22" s="1" t="n">
        <x:v>1</x:v>
      </x:c>
      <x:c r="C22" s="1" t="n">
        <x:v>5</x:v>
      </x:c>
      <x:c r="D22" s="1" t="n">
        <x:v>950</x:v>
      </x:c>
      <x:c r="E22" s="1"/>
      <x:c r="F22" s="1" t="n">
        <x:v>40</x:v>
      </x:c>
      <x:c r="G22" s="1" t="n">
        <x:v>34</x:v>
      </x:c>
      <x:c r="H22" s="1" t="n">
        <x:v>43</x:v>
      </x:c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1" t="n">
        <x:v>2</x:v>
      </x:c>
      <x:c r="B23" s="1" t="n">
        <x:v>2</x:v>
      </x:c>
      <x:c r="C23" s="1" t="n">
        <x:v>15</x:v>
      </x:c>
      <x:c r="D23" s="1" t="n">
        <x:v>1080</x:v>
      </x:c>
      <x:c r="E23" s="1"/>
      <x:c r="F23" s="1" t="n">
        <x:v>50</x:v>
      </x:c>
      <x:c r="G23" s="1" t="n">
        <x:v>40</x:v>
      </x:c>
      <x:c r="H23" s="1" t="n">
        <x:v>53</x:v>
      </x:c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" t="n">
        <x:v>2</x:v>
      </x:c>
      <x:c r="B24" s="1" t="n">
        <x:v>3</x:v>
      </x:c>
      <x:c r="C24" s="1" t="n">
        <x:v>25</x:v>
      </x:c>
      <x:c r="D24" s="1" t="n">
        <x:v>1320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Excel Solver setup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40" customHeight="1">
      <x:c r="A5" s="5" t="str">
        <x:v>Setting</x:v>
      </x:c>
      <x:c r="B5" s="5" t="str">
        <x:v>Value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3" customHeight="1">
      <x:c r="A6" s="1" t="str">
        <x:v>Objective</x:v>
      </x:c>
      <x:c r="B6" s="1" t="str">
        <x:v>Results!B11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1" t="str">
        <x:v>Direction</x:v>
      </x:c>
      <x:c r="B7" s="1" t="str">
        <x:v>Max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1" t="str">
        <x:v>Changing cells</x:v>
      </x:c>
      <x:c r="B8" s="1" t="str">
        <x:v>Model!M7:M24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1" t="str">
        <x:v>Area constraints</x:v>
      </x:c>
      <x:c r="B9" s="1" t="str">
        <x:v>Model!B29:B34 = Model!C29:C34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1" t="str">
        <x:v>Other constraints</x:v>
      </x:c>
      <x:c r="B10" s="1" t="str">
        <x:v>Model!G29:G33 &lt;= Model!H29:H33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" t="str">
        <x:v>Non-negativity</x:v>
      </x:c>
      <x:c r="B11" s="1" t="str">
        <x:v>Model!M7:M24 &gt;= 0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1" t="str">
        <x:v>Method</x:v>
      </x:c>
      <x:c r="B12" s="1" t="str">
        <x:v>Simplex LP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" t="str">
        <x:v>Integrality</x:v>
      </x:c>
      <x:c r="B13" s="1" t="str">
        <x:v>None: acreage may be fractional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" t="str">
        <x:v>After solving</x:v>
      </x:c>
      <x:c r="B14" s="1" t="str">
        <x:v>Keep Solver Solution; request Answer and Sensitivity reports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" t="str">
        <x:v>Availability</x:v>
      </x:c>
      <x:c r="B15" s="1" t="str">
        <x:v>Requires Excel Solver add-in, not Remsoft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" t="str">
        <x:v>Saved configuration</x:v>
      </x:c>
      <x:c r="B16" s="1" t="str">
        <x:v>Enter these settings manually; no embedded Solver model or macros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</x:sheetData>
  <x:pageMargins left="0.7" right="0.7" top="0.75" bottom="0.75" header="0.3" footer="0.3"/>
</x:worksheet>
</file>